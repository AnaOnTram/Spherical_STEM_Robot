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oss/Documents/project/Spherical_STEM_Robot/"/>
    </mc:Choice>
  </mc:AlternateContent>
  <xr:revisionPtr revIDLastSave="0" documentId="13_ncr:1_{E219EDEC-E9A3-9840-B6BD-8D20AD6627AE}" xr6:coauthVersionLast="47" xr6:coauthVersionMax="47" xr10:uidLastSave="{00000000-0000-0000-0000-000000000000}"/>
  <bookViews>
    <workbookView xWindow="3260" yWindow="2160" windowWidth="28040" windowHeight="17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1" i="1"/>
  <c r="E22" i="1"/>
  <c r="E31" i="1"/>
  <c r="E24" i="1"/>
  <c r="E25" i="1"/>
  <c r="E26" i="1"/>
  <c r="E27" i="1"/>
  <c r="E2" i="1"/>
</calcChain>
</file>

<file path=xl/sharedStrings.xml><?xml version="1.0" encoding="utf-8"?>
<sst xmlns="http://schemas.openxmlformats.org/spreadsheetml/2006/main" count="37" uniqueCount="35">
  <si>
    <t>BOM Level</t>
  </si>
  <si>
    <t>Material, Parts, or Components</t>
  </si>
  <si>
    <t>Unit Cost</t>
  </si>
  <si>
    <t>Quantity</t>
  </si>
  <si>
    <t>Total Cost</t>
  </si>
  <si>
    <t>18650 Lithium Battery</t>
  </si>
  <si>
    <t>Battery Compartment</t>
  </si>
  <si>
    <t>5v Lithium Battery Pack</t>
  </si>
  <si>
    <t>DC Geared Motor</t>
  </si>
  <si>
    <t>3D Printed Motor Mount</t>
  </si>
  <si>
    <t>L298 Motor Drive</t>
  </si>
  <si>
    <t>Dupont Wire</t>
  </si>
  <si>
    <t>m3 screws</t>
  </si>
  <si>
    <t>m3 Bolt</t>
  </si>
  <si>
    <t>m3 Nut</t>
  </si>
  <si>
    <t>m2.5 Bolt</t>
  </si>
  <si>
    <t>m2.5 Nut</t>
  </si>
  <si>
    <t>USB Cable</t>
  </si>
  <si>
    <t>Raspberry Pi 5 4GB</t>
  </si>
  <si>
    <t>Raspberry Pi 5 Heat Sink</t>
  </si>
  <si>
    <t>32GB TF Card</t>
  </si>
  <si>
    <t>Camera + Dual Mic Module</t>
  </si>
  <si>
    <t>3D Printed Camera Mount</t>
  </si>
  <si>
    <t>4.2'' E-Ink Display with Drive Board</t>
  </si>
  <si>
    <t>ESP32 Dev Board</t>
  </si>
  <si>
    <t>3D Printed Display and Speaker Compartment</t>
  </si>
  <si>
    <t>Bottom Board</t>
  </si>
  <si>
    <t>Middle Board</t>
  </si>
  <si>
    <t>Upper Board</t>
  </si>
  <si>
    <t>Hemisphere Shell</t>
  </si>
  <si>
    <t>Mono Chanel Speaker + Sound Card</t>
  </si>
  <si>
    <t>Packaging</t>
  </si>
  <si>
    <t>3D printing</t>
  </si>
  <si>
    <t>Total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</si>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</sst>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C28" sqref="C28"/>
    </sheetView>
  </sheetViews>
  <sheetFormatPr baseColWidth="10" defaultRowHeight="16" x14ac:dyDescent="0.2"/>
  <cols>
    <col min="2" max="2" width="37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3</v>
      </c>
      <c r="B2" s="2" t="s">
        <v>5</v>
      </c>
      <c r="C2">
        <v>15</v>
      </c>
      <c r="D2">
        <v>2</v>
      </c>
      <c r="E2">
        <f>C2*D2</f>
        <v>30</v>
      </c>
    </row>
    <row r="3" spans="1:5" x14ac:dyDescent="0.2">
      <c r="A3">
        <v>2</v>
      </c>
      <c r="B3" s="2" t="s">
        <v>6</v>
      </c>
      <c r="C3">
        <v>4</v>
      </c>
      <c r="D3">
        <v>1</v>
      </c>
      <c r="E3">
        <f t="shared" ref="E3:E27" si="0">C3*D3</f>
        <v>4</v>
      </c>
    </row>
    <row r="4" spans="1:5" x14ac:dyDescent="0.2">
      <c r="A4">
        <v>3</v>
      </c>
      <c r="B4" t="s">
        <v>7</v>
      </c>
      <c r="C4">
        <v>44</v>
      </c>
      <c r="D4">
        <v>1</v>
      </c>
      <c r="E4">
        <f t="shared" si="0"/>
        <v>44</v>
      </c>
    </row>
    <row r="5" spans="1:5" x14ac:dyDescent="0.2">
      <c r="A5">
        <v>2</v>
      </c>
      <c r="B5" s="2" t="s">
        <v>8</v>
      </c>
      <c r="C5">
        <v>20</v>
      </c>
      <c r="D5">
        <v>2</v>
      </c>
      <c r="E5">
        <f t="shared" si="0"/>
        <v>40</v>
      </c>
    </row>
    <row r="6" spans="1:5" x14ac:dyDescent="0.2">
      <c r="A6">
        <v>2</v>
      </c>
      <c r="B6" s="3" t="s">
        <v>9</v>
      </c>
      <c r="C6" t="s">
        <v>34</v>
      </c>
      <c r="D6">
        <v>2</v>
      </c>
      <c r="E6">
        <v>0</v>
      </c>
    </row>
    <row r="7" spans="1:5" x14ac:dyDescent="0.2">
      <c r="A7">
        <v>2</v>
      </c>
      <c r="B7" s="2" t="s">
        <v>10</v>
      </c>
      <c r="C7">
        <v>30</v>
      </c>
      <c r="D7">
        <v>1</v>
      </c>
      <c r="E7">
        <f t="shared" si="0"/>
        <v>30</v>
      </c>
    </row>
    <row r="8" spans="1:5" x14ac:dyDescent="0.2">
      <c r="A8">
        <v>3</v>
      </c>
      <c r="B8" t="s">
        <v>11</v>
      </c>
      <c r="C8">
        <v>0.1</v>
      </c>
      <c r="D8">
        <v>10</v>
      </c>
      <c r="E8">
        <f t="shared" si="0"/>
        <v>1</v>
      </c>
    </row>
    <row r="9" spans="1:5" x14ac:dyDescent="0.2">
      <c r="A9">
        <v>3</v>
      </c>
      <c r="B9" s="2" t="s">
        <v>12</v>
      </c>
      <c r="C9">
        <v>0.1</v>
      </c>
      <c r="D9">
        <v>26</v>
      </c>
      <c r="E9">
        <f t="shared" si="0"/>
        <v>2.6</v>
      </c>
    </row>
    <row r="10" spans="1:5" x14ac:dyDescent="0.2">
      <c r="A10">
        <v>3</v>
      </c>
      <c r="B10" s="2" t="s">
        <v>13</v>
      </c>
      <c r="C10">
        <v>0.1</v>
      </c>
      <c r="D10">
        <v>8</v>
      </c>
      <c r="E10">
        <f t="shared" si="0"/>
        <v>0.8</v>
      </c>
    </row>
    <row r="11" spans="1:5" x14ac:dyDescent="0.2">
      <c r="A11">
        <v>3</v>
      </c>
      <c r="B11" s="2" t="s">
        <v>14</v>
      </c>
      <c r="C11">
        <v>0.1</v>
      </c>
      <c r="D11">
        <v>34</v>
      </c>
      <c r="E11">
        <f t="shared" si="0"/>
        <v>3.4000000000000004</v>
      </c>
    </row>
    <row r="12" spans="1:5" x14ac:dyDescent="0.2">
      <c r="A12">
        <v>3</v>
      </c>
      <c r="B12" t="s">
        <v>15</v>
      </c>
      <c r="C12">
        <v>0.25</v>
      </c>
      <c r="D12">
        <v>4</v>
      </c>
      <c r="E12">
        <f t="shared" si="0"/>
        <v>1</v>
      </c>
    </row>
    <row r="13" spans="1:5" x14ac:dyDescent="0.2">
      <c r="A13">
        <v>3</v>
      </c>
      <c r="B13" t="s">
        <v>16</v>
      </c>
      <c r="C13">
        <v>0.25</v>
      </c>
      <c r="D13">
        <v>4</v>
      </c>
      <c r="E13">
        <f t="shared" si="0"/>
        <v>1</v>
      </c>
    </row>
    <row r="14" spans="1:5" x14ac:dyDescent="0.2">
      <c r="A14">
        <v>3</v>
      </c>
      <c r="B14" t="s">
        <v>17</v>
      </c>
      <c r="C14">
        <v>9</v>
      </c>
      <c r="D14">
        <v>3</v>
      </c>
      <c r="E14">
        <f t="shared" si="0"/>
        <v>27</v>
      </c>
    </row>
    <row r="15" spans="1:5" x14ac:dyDescent="0.2">
      <c r="A15">
        <v>3</v>
      </c>
      <c r="B15" t="s">
        <v>30</v>
      </c>
      <c r="C15">
        <v>45</v>
      </c>
      <c r="D15">
        <v>1</v>
      </c>
      <c r="E15">
        <f t="shared" si="0"/>
        <v>45</v>
      </c>
    </row>
    <row r="16" spans="1:5" x14ac:dyDescent="0.2">
      <c r="A16">
        <v>2</v>
      </c>
      <c r="B16" t="s">
        <v>18</v>
      </c>
      <c r="C16">
        <v>510</v>
      </c>
      <c r="D16">
        <v>1</v>
      </c>
      <c r="E16">
        <f t="shared" si="0"/>
        <v>510</v>
      </c>
    </row>
    <row r="17" spans="1:5" x14ac:dyDescent="0.2">
      <c r="A17">
        <v>3</v>
      </c>
      <c r="B17" t="s">
        <v>19</v>
      </c>
      <c r="C17">
        <v>79</v>
      </c>
      <c r="D17">
        <v>1</v>
      </c>
      <c r="E17">
        <f t="shared" si="0"/>
        <v>79</v>
      </c>
    </row>
    <row r="18" spans="1:5" x14ac:dyDescent="0.2">
      <c r="A18">
        <v>3</v>
      </c>
      <c r="B18" t="s">
        <v>20</v>
      </c>
      <c r="C18">
        <v>45</v>
      </c>
      <c r="D18">
        <v>1</v>
      </c>
      <c r="E18">
        <f t="shared" si="0"/>
        <v>45</v>
      </c>
    </row>
    <row r="19" spans="1:5" x14ac:dyDescent="0.2">
      <c r="A19">
        <v>2</v>
      </c>
      <c r="B19" t="s">
        <v>21</v>
      </c>
      <c r="C19">
        <v>115</v>
      </c>
      <c r="D19">
        <v>1</v>
      </c>
      <c r="E19">
        <f t="shared" si="0"/>
        <v>115</v>
      </c>
    </row>
    <row r="20" spans="1:5" x14ac:dyDescent="0.2">
      <c r="A20">
        <v>2</v>
      </c>
      <c r="B20" s="3" t="s">
        <v>22</v>
      </c>
      <c r="C20" t="s">
        <v>34</v>
      </c>
      <c r="D20">
        <v>1</v>
      </c>
      <c r="E20">
        <v>0</v>
      </c>
    </row>
    <row r="21" spans="1:5" x14ac:dyDescent="0.2">
      <c r="A21">
        <v>3</v>
      </c>
      <c r="B21" t="s">
        <v>23</v>
      </c>
      <c r="C21">
        <v>107</v>
      </c>
      <c r="D21">
        <v>1</v>
      </c>
      <c r="E21">
        <f t="shared" si="0"/>
        <v>107</v>
      </c>
    </row>
    <row r="22" spans="1:5" x14ac:dyDescent="0.2">
      <c r="A22">
        <v>2</v>
      </c>
      <c r="B22" t="s">
        <v>24</v>
      </c>
      <c r="C22">
        <v>95</v>
      </c>
      <c r="D22">
        <v>1</v>
      </c>
      <c r="E22">
        <f t="shared" si="0"/>
        <v>95</v>
      </c>
    </row>
    <row r="23" spans="1:5" x14ac:dyDescent="0.2">
      <c r="A23">
        <v>2</v>
      </c>
      <c r="B23" s="3" t="s">
        <v>25</v>
      </c>
      <c r="C23" t="s">
        <v>34</v>
      </c>
      <c r="D23">
        <v>1</v>
      </c>
      <c r="E23">
        <v>0</v>
      </c>
    </row>
    <row r="24" spans="1:5" x14ac:dyDescent="0.2">
      <c r="A24">
        <v>1</v>
      </c>
      <c r="B24" s="1" t="s">
        <v>26</v>
      </c>
      <c r="D24">
        <v>1</v>
      </c>
      <c r="E24">
        <f t="shared" si="0"/>
        <v>0</v>
      </c>
    </row>
    <row r="25" spans="1:5" x14ac:dyDescent="0.2">
      <c r="A25">
        <v>1</v>
      </c>
      <c r="B25" s="1" t="s">
        <v>27</v>
      </c>
      <c r="D25">
        <v>1</v>
      </c>
      <c r="E25">
        <f t="shared" si="0"/>
        <v>0</v>
      </c>
    </row>
    <row r="26" spans="1:5" x14ac:dyDescent="0.2">
      <c r="A26">
        <v>1</v>
      </c>
      <c r="B26" s="1" t="s">
        <v>28</v>
      </c>
      <c r="D26">
        <v>1</v>
      </c>
      <c r="E26">
        <f t="shared" si="0"/>
        <v>0</v>
      </c>
    </row>
    <row r="27" spans="1:5" x14ac:dyDescent="0.2">
      <c r="A27">
        <v>1</v>
      </c>
      <c r="B27" s="2" t="s">
        <v>29</v>
      </c>
      <c r="D27">
        <v>2</v>
      </c>
      <c r="E27">
        <f t="shared" si="0"/>
        <v>0</v>
      </c>
    </row>
    <row r="28" spans="1:5" x14ac:dyDescent="0.2">
      <c r="A28">
        <v>1</v>
      </c>
      <c r="B28" s="1" t="s">
        <v>31</v>
      </c>
      <c r="E28">
        <v>100</v>
      </c>
    </row>
    <row r="29" spans="1:5" x14ac:dyDescent="0.2">
      <c r="A29">
        <v>1</v>
      </c>
      <c r="B29" s="1" t="s">
        <v>32</v>
      </c>
      <c r="E29">
        <v>100</v>
      </c>
    </row>
    <row r="31" spans="1:5" x14ac:dyDescent="0.2">
      <c r="D31" t="s">
        <v>33</v>
      </c>
      <c r="E31">
        <f>SUM(E2:E29)</f>
        <v>1380.8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DAI, Ross Qi [Student]</dc:creator>
  <cp:lastModifiedBy>DAI, Ross Qi [Student]</cp:lastModifiedBy>
  <dcterms:created xsi:type="dcterms:W3CDTF">2026-03-28T09:49:41Z</dcterms:created>
  <dcterms:modified xsi:type="dcterms:W3CDTF">2026-03-30T04:17:41Z</dcterms:modified>
</cp:coreProperties>
</file>